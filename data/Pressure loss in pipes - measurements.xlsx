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ip22moo\Desktop\FLUIDSLAB\PRESSURELOSS\"/>
    </mc:Choice>
  </mc:AlternateContent>
  <xr:revisionPtr revIDLastSave="0" documentId="13_ncr:1_{7CB44488-15C9-4F8C-A743-ECE41743E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 data" sheetId="1" r:id="rId1"/>
    <sheet name="Material Props + Length" sheetId="2" r:id="rId2"/>
  </sheets>
  <definedNames>
    <definedName name="g">'Material Props + Length'!$C$3</definedName>
    <definedName name="L">'Material Props + Length'!$C$5</definedName>
    <definedName name="mu">'Material Props + Length'!$C$4</definedName>
    <definedName name="rho">'Material Props + Length'!$C$2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AF5ErqM2Djz1eDjAtzxj/OMUD2tl+6QC+BVwVQtl00="/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7" i="1"/>
  <c r="I23" i="1"/>
  <c r="G23" i="1"/>
  <c r="I24" i="1"/>
  <c r="G24" i="1"/>
  <c r="I25" i="1"/>
  <c r="G25" i="1"/>
  <c r="J25" i="1" s="1"/>
  <c r="L25" i="1" s="1"/>
  <c r="I26" i="1"/>
  <c r="G26" i="1"/>
  <c r="I27" i="1"/>
  <c r="G27" i="1"/>
  <c r="J27" i="1" s="1"/>
  <c r="L27" i="1" s="1"/>
  <c r="I28" i="1"/>
  <c r="G28" i="1"/>
  <c r="I29" i="1"/>
  <c r="G29" i="1"/>
  <c r="I30" i="1"/>
  <c r="G30" i="1"/>
  <c r="J30" i="1" s="1"/>
  <c r="L30" i="1" s="1"/>
  <c r="I31" i="1"/>
  <c r="G31" i="1"/>
  <c r="I32" i="1"/>
  <c r="G32" i="1"/>
  <c r="J32" i="1" s="1"/>
  <c r="K32" i="1" s="1"/>
  <c r="I33" i="1"/>
  <c r="G33" i="1"/>
  <c r="I34" i="1"/>
  <c r="G34" i="1"/>
  <c r="I35" i="1"/>
  <c r="G35" i="1"/>
  <c r="I36" i="1"/>
  <c r="G36" i="1"/>
  <c r="I37" i="1"/>
  <c r="G37" i="1"/>
  <c r="I38" i="1"/>
  <c r="G38" i="1"/>
  <c r="I39" i="1"/>
  <c r="G39" i="1"/>
  <c r="I40" i="1"/>
  <c r="G40" i="1"/>
  <c r="J40" i="1" s="1"/>
  <c r="L40" i="1" s="1"/>
  <c r="I41" i="1"/>
  <c r="G41" i="1"/>
  <c r="I42" i="1"/>
  <c r="G42" i="1"/>
  <c r="I22" i="1"/>
  <c r="I21" i="1"/>
  <c r="G20" i="1"/>
  <c r="G21" i="1"/>
  <c r="G22" i="1"/>
  <c r="G19" i="1"/>
  <c r="G16" i="1"/>
  <c r="G17" i="1"/>
  <c r="G18" i="1"/>
  <c r="G15" i="1"/>
  <c r="G12" i="1"/>
  <c r="G13" i="1"/>
  <c r="G14" i="1"/>
  <c r="G11" i="1"/>
  <c r="G8" i="1"/>
  <c r="G9" i="1"/>
  <c r="G10" i="1"/>
  <c r="G7" i="1"/>
  <c r="L32" i="1" l="1"/>
  <c r="J36" i="1"/>
  <c r="L36" i="1" s="1"/>
  <c r="J21" i="1"/>
  <c r="L21" i="1" s="1"/>
  <c r="J22" i="1"/>
  <c r="L22" i="1" s="1"/>
  <c r="K22" i="1"/>
  <c r="J37" i="1"/>
  <c r="J33" i="1"/>
  <c r="J35" i="1"/>
  <c r="L35" i="1" s="1"/>
  <c r="J24" i="1"/>
  <c r="L24" i="1" s="1"/>
  <c r="J31" i="1"/>
  <c r="J23" i="1"/>
  <c r="J38" i="1"/>
  <c r="J29" i="1"/>
  <c r="J28" i="1"/>
  <c r="L28" i="1" s="1"/>
  <c r="K30" i="1"/>
  <c r="K27" i="1"/>
  <c r="J34" i="1"/>
  <c r="J26" i="1"/>
  <c r="L26" i="1" s="1"/>
  <c r="K26" i="1"/>
  <c r="K25" i="1"/>
  <c r="J42" i="1"/>
  <c r="J41" i="1"/>
  <c r="J39" i="1"/>
  <c r="K40" i="1"/>
  <c r="I20" i="1"/>
  <c r="J20" i="1" s="1"/>
  <c r="L20" i="1" s="1"/>
  <c r="I19" i="1"/>
  <c r="J19" i="1" s="1"/>
  <c r="L19" i="1" s="1"/>
  <c r="I18" i="1"/>
  <c r="J18" i="1" s="1"/>
  <c r="L18" i="1" s="1"/>
  <c r="I17" i="1"/>
  <c r="J17" i="1" s="1"/>
  <c r="L17" i="1" s="1"/>
  <c r="I16" i="1"/>
  <c r="J16" i="1" s="1"/>
  <c r="L16" i="1" s="1"/>
  <c r="I15" i="1"/>
  <c r="J15" i="1" s="1"/>
  <c r="L15" i="1" s="1"/>
  <c r="I14" i="1"/>
  <c r="J14" i="1" s="1"/>
  <c r="L14" i="1" s="1"/>
  <c r="I13" i="1"/>
  <c r="J13" i="1" s="1"/>
  <c r="L13" i="1" s="1"/>
  <c r="I12" i="1"/>
  <c r="J12" i="1" s="1"/>
  <c r="L12" i="1" s="1"/>
  <c r="I11" i="1"/>
  <c r="J11" i="1" s="1"/>
  <c r="L11" i="1" s="1"/>
  <c r="I10" i="1"/>
  <c r="J10" i="1" s="1"/>
  <c r="L10" i="1" s="1"/>
  <c r="I9" i="1"/>
  <c r="J9" i="1" s="1"/>
  <c r="L9" i="1" s="1"/>
  <c r="I8" i="1"/>
  <c r="J8" i="1" s="1"/>
  <c r="L8" i="1" s="1"/>
  <c r="I7" i="1"/>
  <c r="J7" i="1" s="1"/>
  <c r="L7" i="1" s="1"/>
  <c r="K36" i="1" l="1"/>
  <c r="K21" i="1"/>
  <c r="K31" i="1"/>
  <c r="L31" i="1"/>
  <c r="K41" i="1"/>
  <c r="L41" i="1"/>
  <c r="K33" i="1"/>
  <c r="L33" i="1"/>
  <c r="K37" i="1"/>
  <c r="L37" i="1"/>
  <c r="K39" i="1"/>
  <c r="L39" i="1"/>
  <c r="K42" i="1"/>
  <c r="L42" i="1"/>
  <c r="K34" i="1"/>
  <c r="L34" i="1"/>
  <c r="K29" i="1"/>
  <c r="L29" i="1"/>
  <c r="K38" i="1"/>
  <c r="L38" i="1"/>
  <c r="K23" i="1"/>
  <c r="L23" i="1"/>
  <c r="K9" i="1"/>
  <c r="K11" i="1"/>
  <c r="K13" i="1"/>
  <c r="K24" i="1"/>
  <c r="K15" i="1"/>
  <c r="K8" i="1"/>
  <c r="K10" i="1"/>
  <c r="K14" i="1"/>
  <c r="K16" i="1"/>
  <c r="K35" i="1"/>
  <c r="K7" i="1"/>
  <c r="K17" i="1"/>
  <c r="K12" i="1"/>
  <c r="K18" i="1"/>
  <c r="K19" i="1"/>
  <c r="K28" i="1"/>
  <c r="K20" i="1"/>
</calcChain>
</file>

<file path=xl/sharedStrings.xml><?xml version="1.0" encoding="utf-8"?>
<sst xmlns="http://schemas.openxmlformats.org/spreadsheetml/2006/main" count="46" uniqueCount="39">
  <si>
    <t xml:space="preserve">Pipe </t>
  </si>
  <si>
    <t>Start</t>
  </si>
  <si>
    <t xml:space="preserve">End </t>
  </si>
  <si>
    <t>Time</t>
  </si>
  <si>
    <t>Re</t>
  </si>
  <si>
    <t>Diameter</t>
  </si>
  <si>
    <t>hL</t>
  </si>
  <si>
    <t>(mm)</t>
  </si>
  <si>
    <t>(l)</t>
  </si>
  <si>
    <t>(seconds)</t>
  </si>
  <si>
    <t>(m3/sec)</t>
  </si>
  <si>
    <t>(m/s)</t>
  </si>
  <si>
    <t>Density</t>
  </si>
  <si>
    <t>kg/m3</t>
  </si>
  <si>
    <t>g</t>
  </si>
  <si>
    <t>m/s2</t>
  </si>
  <si>
    <t>viscosity</t>
  </si>
  <si>
    <t>Pa.s</t>
  </si>
  <si>
    <t>Length</t>
  </si>
  <si>
    <t>Flow Rate</t>
  </si>
  <si>
    <t>*Material properties and pipe length on another tab</t>
  </si>
  <si>
    <t>Volume</t>
  </si>
  <si>
    <t>(mmH2O)</t>
  </si>
  <si>
    <t>Pipe</t>
  </si>
  <si>
    <t>Area</t>
  </si>
  <si>
    <t xml:space="preserve"> (m2)</t>
  </si>
  <si>
    <t>Head Loss</t>
  </si>
  <si>
    <t>Velocity</t>
  </si>
  <si>
    <t>V</t>
  </si>
  <si>
    <t>Q</t>
  </si>
  <si>
    <t>(-)</t>
  </si>
  <si>
    <t>theory</t>
  </si>
  <si>
    <t>Reynolds</t>
  </si>
  <si>
    <t>λ (or f)</t>
  </si>
  <si>
    <t>t</t>
  </si>
  <si>
    <t>Accumulated</t>
  </si>
  <si>
    <t>(m3)</t>
  </si>
  <si>
    <t>You need to type the formulas into the grey cells! Ask for support</t>
  </si>
  <si>
    <t>experim. [Eq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</si>
</sst>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00"/>
    <numFmt numFmtId="166" formatCode="0.000"/>
    <numFmt numFmtId="167" formatCode="0.0"/>
    <numFmt numFmtId="169" formatCode="0.000000"/>
  </numFmts>
  <fonts count="14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i/>
      <sz val="11"/>
      <color rgb="FF000000"/>
      <name val="Calibri"/>
    </font>
    <font>
      <sz val="16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8"/>
      <color rgb="FF000000"/>
      <name val="Calibri"/>
      <family val="2"/>
      <scheme val="minor"/>
    </font>
    <font>
      <sz val="14"/>
      <color rgb="FFC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1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DE9D9"/>
      </patternFill>
    </fill>
    <fill>
      <patternFill patternType="solid">
        <fgColor theme="7" tint="0.59999389629810485"/>
        <bgColor rgb="FFDBE5F1"/>
      </patternFill>
    </fill>
    <fill>
      <patternFill patternType="solid">
        <fgColor theme="7" tint="-0.249977111117893"/>
        <bgColor rgb="FFFABF8F"/>
      </patternFill>
    </fill>
    <fill>
      <patternFill patternType="solid">
        <fgColor theme="7" tint="-0.249977111117893"/>
        <bgColor rgb="FF95B3D7"/>
      </patternFill>
    </fill>
    <fill>
      <patternFill patternType="solid">
        <fgColor theme="6" tint="-0.249977111117893"/>
        <bgColor rgb="FF95B3D7"/>
      </patternFill>
    </fill>
    <fill>
      <patternFill patternType="solid">
        <fgColor theme="6" tint="-0.249977111117893"/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DBE5F1"/>
      </patternFill>
    </fill>
    <fill>
      <patternFill patternType="solid">
        <fgColor theme="6" tint="0.39997558519241921"/>
        <bgColor rgb="FFEAF1D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3" fillId="3" borderId="3" xfId="0" applyFont="1" applyFill="1" applyBorder="1"/>
    <xf numFmtId="0" fontId="1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1" fontId="3" fillId="11" borderId="3" xfId="0" applyNumberFormat="1" applyFont="1" applyFill="1" applyBorder="1"/>
    <xf numFmtId="0" fontId="3" fillId="11" borderId="3" xfId="0" applyFont="1" applyFill="1" applyBorder="1"/>
    <xf numFmtId="165" fontId="0" fillId="9" borderId="3" xfId="0" applyNumberFormat="1" applyFill="1" applyBorder="1"/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7" fontId="3" fillId="4" borderId="3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169" fontId="0" fillId="9" borderId="3" xfId="0" applyNumberFormat="1" applyFill="1" applyBorder="1"/>
    <xf numFmtId="0" fontId="8" fillId="2" borderId="0" xfId="0" applyFont="1" applyFill="1" applyAlignment="1">
      <alignment horizontal="center" vertical="center" wrapText="1"/>
    </xf>
    <xf numFmtId="169" fontId="3" fillId="11" borderId="3" xfId="0" applyNumberFormat="1" applyFont="1" applyFill="1" applyBorder="1"/>
    <xf numFmtId="166" fontId="3" fillId="1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320040</xdr:colOff>
      <xdr:row>0</xdr:row>
      <xdr:rowOff>28575</xdr:rowOff>
    </xdr:from>
    <xdr:to>
      <xdr:col>13</xdr:col>
      <xdr:colOff>104602</xdr:colOff>
      <xdr:row>0</xdr:row>
      <xdr:rowOff>565717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1254F-B02E-509E-194D-DFC467E2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6660" y="28575"/>
          <a:ext cx="1407622" cy="537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51"/>
  <sheetViews>
    <sheetView tabSelected="1" workbookViewId="0">
      <selection activeCell="K7" sqref="K7"/>
    </sheetView>
  </sheetViews>
  <sheetFormatPr defaultColWidth="14.44140625" defaultRowHeight="15" customHeight="1" x14ac:dyDescent="0.3"/>
  <cols>
    <col min="1" max="1" width="11.109375" bestFit="1" customWidth="1"/>
    <col min="2" max="2" width="10.5546875" customWidth="1"/>
    <col min="3" max="5" width="8.6640625" customWidth="1"/>
    <col min="6" max="6" width="9.44140625" bestFit="1" customWidth="1"/>
    <col min="7" max="7" width="9.5546875" bestFit="1" customWidth="1"/>
    <col min="8" max="8" width="12.109375" bestFit="1" customWidth="1"/>
    <col min="9" max="9" width="9.5546875" bestFit="1" customWidth="1"/>
    <col min="10" max="11" width="8.6640625" customWidth="1"/>
    <col min="12" max="12" width="13.77734375" bestFit="1" customWidth="1"/>
    <col min="13" max="13" width="9.88671875" bestFit="1" customWidth="1"/>
    <col min="14" max="14" width="8.6640625" customWidth="1"/>
  </cols>
  <sheetData>
    <row r="1" spans="1:16" ht="53.25" customHeight="1" x14ac:dyDescent="0.4">
      <c r="A1" s="30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"/>
      <c r="M1" s="3"/>
    </row>
    <row r="3" spans="1:16" ht="18" x14ac:dyDescent="0.35">
      <c r="B3" s="4" t="s">
        <v>20</v>
      </c>
      <c r="P3" s="5"/>
    </row>
    <row r="4" spans="1:16" ht="14.4" x14ac:dyDescent="0.3">
      <c r="B4" s="8" t="s">
        <v>0</v>
      </c>
      <c r="C4" s="8" t="s">
        <v>1</v>
      </c>
      <c r="D4" s="8" t="s">
        <v>2</v>
      </c>
      <c r="E4" s="8" t="s">
        <v>3</v>
      </c>
      <c r="F4" s="18" t="s">
        <v>26</v>
      </c>
      <c r="G4" s="11" t="s">
        <v>23</v>
      </c>
      <c r="H4" s="12" t="s">
        <v>35</v>
      </c>
      <c r="I4" s="12" t="s">
        <v>19</v>
      </c>
      <c r="J4" s="20" t="s">
        <v>27</v>
      </c>
      <c r="K4" s="24" t="s">
        <v>32</v>
      </c>
      <c r="L4" s="23" t="s">
        <v>33</v>
      </c>
      <c r="M4" s="23" t="s">
        <v>33</v>
      </c>
      <c r="O4" s="6"/>
    </row>
    <row r="5" spans="1:16" ht="14.4" x14ac:dyDescent="0.3">
      <c r="B5" s="8" t="s">
        <v>5</v>
      </c>
      <c r="C5" s="27" t="s">
        <v>21</v>
      </c>
      <c r="D5" s="27" t="s">
        <v>21</v>
      </c>
      <c r="E5" s="27" t="s">
        <v>34</v>
      </c>
      <c r="F5" s="19" t="s">
        <v>6</v>
      </c>
      <c r="G5" s="11" t="s">
        <v>24</v>
      </c>
      <c r="H5" s="12" t="s">
        <v>21</v>
      </c>
      <c r="I5" s="12" t="s">
        <v>29</v>
      </c>
      <c r="J5" s="21" t="s">
        <v>28</v>
      </c>
      <c r="K5" s="25" t="s">
        <v>4</v>
      </c>
      <c r="L5" s="23" t="s">
        <v>38</v>
      </c>
      <c r="M5" s="23" t="s">
        <v>31</v>
      </c>
      <c r="N5" s="2"/>
    </row>
    <row r="6" spans="1:16" ht="14.4" x14ac:dyDescent="0.3">
      <c r="B6" s="9" t="s">
        <v>7</v>
      </c>
      <c r="C6" s="9" t="s">
        <v>8</v>
      </c>
      <c r="D6" s="9" t="s">
        <v>8</v>
      </c>
      <c r="E6" s="9" t="s">
        <v>9</v>
      </c>
      <c r="F6" s="10" t="s">
        <v>22</v>
      </c>
      <c r="G6" s="13" t="s">
        <v>25</v>
      </c>
      <c r="H6" s="28" t="s">
        <v>36</v>
      </c>
      <c r="I6" s="14" t="s">
        <v>10</v>
      </c>
      <c r="J6" s="14" t="s">
        <v>11</v>
      </c>
      <c r="K6" s="22" t="s">
        <v>30</v>
      </c>
      <c r="L6" s="22" t="s">
        <v>30</v>
      </c>
      <c r="M6" s="22" t="s">
        <v>30</v>
      </c>
    </row>
    <row r="7" spans="1:16" ht="15.75" customHeight="1" x14ac:dyDescent="0.3">
      <c r="B7" s="7">
        <v>10.27</v>
      </c>
      <c r="C7" s="7">
        <v>1</v>
      </c>
      <c r="D7" s="7">
        <v>6</v>
      </c>
      <c r="E7" s="7">
        <v>71</v>
      </c>
      <c r="F7" s="26">
        <v>37.200000000000003</v>
      </c>
      <c r="G7" s="17">
        <f>PI()*(B7/1000)^2/4</f>
        <v>8.2838221948202718E-5</v>
      </c>
      <c r="H7" s="29">
        <f>(D7-C7)/1000</f>
        <v>5.0000000000000001E-3</v>
      </c>
      <c r="I7" s="29">
        <f t="shared" ref="I7:I22" si="0">(D7-C7)/1000/E7</f>
        <v>7.0422535211267609E-5</v>
      </c>
      <c r="J7" s="32">
        <f>I7/G7</f>
        <v>0.85012127922423997</v>
      </c>
      <c r="K7" s="15">
        <f t="shared" ref="K7:K42" si="1">rho*J7*B7/1000/mu</f>
        <v>8941.7713412873236</v>
      </c>
      <c r="L7" s="31">
        <f>(F7/1000)/(L*J7*J7)*(B7/1000*2*g)</f>
        <v>2.8810321961651359E-2</v>
      </c>
      <c r="M7" s="16"/>
    </row>
    <row r="8" spans="1:16" ht="15.75" customHeight="1" x14ac:dyDescent="0.3">
      <c r="B8" s="7">
        <v>10.27</v>
      </c>
      <c r="C8" s="7">
        <v>1</v>
      </c>
      <c r="D8" s="7">
        <v>6</v>
      </c>
      <c r="E8" s="7">
        <v>51</v>
      </c>
      <c r="F8" s="26">
        <v>73.7</v>
      </c>
      <c r="G8" s="17">
        <f>PI()*(B8/1000)^2/4</f>
        <v>8.2838221948202718E-5</v>
      </c>
      <c r="H8" s="29">
        <f t="shared" ref="H8:H42" si="2">(D8-C8)/1000</f>
        <v>5.0000000000000001E-3</v>
      </c>
      <c r="I8" s="29">
        <f t="shared" si="0"/>
        <v>9.8039215686274506E-5</v>
      </c>
      <c r="J8" s="32">
        <f>I8/G8</f>
        <v>1.1835021730376674</v>
      </c>
      <c r="K8" s="15">
        <f t="shared" si="1"/>
        <v>12448.348337870588</v>
      </c>
      <c r="L8" s="31">
        <f>(F8/1000)/(L*J8*J8)*(B8/1000*2*g)</f>
        <v>2.9450746966382155E-2</v>
      </c>
      <c r="M8" s="16"/>
    </row>
    <row r="9" spans="1:16" ht="15.75" customHeight="1" x14ac:dyDescent="0.3">
      <c r="B9" s="7">
        <v>10.27</v>
      </c>
      <c r="C9" s="7">
        <v>1</v>
      </c>
      <c r="D9" s="7">
        <v>6</v>
      </c>
      <c r="E9" s="7">
        <v>40</v>
      </c>
      <c r="F9" s="26">
        <v>113</v>
      </c>
      <c r="G9" s="17">
        <f>PI()*(B9/1000)^2/4</f>
        <v>8.2838221948202718E-5</v>
      </c>
      <c r="H9" s="29">
        <f t="shared" si="2"/>
        <v>5.0000000000000001E-3</v>
      </c>
      <c r="I9" s="29">
        <f t="shared" si="0"/>
        <v>1.25E-4</v>
      </c>
      <c r="J9" s="32">
        <f>I9/G9</f>
        <v>1.5089652706230259</v>
      </c>
      <c r="K9" s="15">
        <f t="shared" si="1"/>
        <v>15871.644130785002</v>
      </c>
      <c r="L9" s="31">
        <f>(F9/1000)/(L*J9*J9)*(B9/1000*2*g)</f>
        <v>2.777709988133097E-2</v>
      </c>
      <c r="M9" s="16"/>
    </row>
    <row r="10" spans="1:16" ht="15.75" customHeight="1" x14ac:dyDescent="0.3">
      <c r="B10" s="7">
        <v>10.27</v>
      </c>
      <c r="C10" s="7">
        <v>1</v>
      </c>
      <c r="D10" s="7">
        <v>6</v>
      </c>
      <c r="E10" s="7">
        <v>34</v>
      </c>
      <c r="F10" s="26">
        <v>154.5</v>
      </c>
      <c r="G10" s="17">
        <f>PI()*(B10/1000)^2/4</f>
        <v>8.2838221948202718E-5</v>
      </c>
      <c r="H10" s="29">
        <f t="shared" si="2"/>
        <v>5.0000000000000001E-3</v>
      </c>
      <c r="I10" s="29">
        <f t="shared" si="0"/>
        <v>1.4705882352941178E-4</v>
      </c>
      <c r="J10" s="32">
        <f>I10/G10</f>
        <v>1.7752532595565012</v>
      </c>
      <c r="K10" s="15">
        <f t="shared" si="1"/>
        <v>18672.522506805886</v>
      </c>
      <c r="L10" s="31">
        <f>(F10/1000)/(L*J10*J10)*(B10/1000*2*g)</f>
        <v>2.743941146573824E-2</v>
      </c>
      <c r="M10" s="16"/>
    </row>
    <row r="11" spans="1:16" ht="15.75" customHeight="1" x14ac:dyDescent="0.3">
      <c r="B11" s="7">
        <v>10.08</v>
      </c>
      <c r="C11" s="7">
        <v>1</v>
      </c>
      <c r="D11" s="7">
        <v>6</v>
      </c>
      <c r="E11" s="7">
        <v>74</v>
      </c>
      <c r="F11" s="26">
        <v>31.6</v>
      </c>
      <c r="G11" s="17">
        <f>PI()*(B11/1000)^2/4</f>
        <v>7.9801479949426492E-5</v>
      </c>
      <c r="H11" s="29">
        <f t="shared" si="2"/>
        <v>5.0000000000000001E-3</v>
      </c>
      <c r="I11" s="29">
        <f t="shared" si="0"/>
        <v>6.7567567567567569E-5</v>
      </c>
      <c r="J11" s="32">
        <f>I11/G11</f>
        <v>0.84669567043603622</v>
      </c>
      <c r="K11" s="15">
        <f t="shared" si="1"/>
        <v>8740.9794735715332</v>
      </c>
      <c r="L11" s="31">
        <f>(F11/1000)/(L*J11*J11)*(B11/1000*2*g)</f>
        <v>2.4215276868040661E-2</v>
      </c>
      <c r="M11" s="16"/>
    </row>
    <row r="12" spans="1:16" ht="15.75" customHeight="1" x14ac:dyDescent="0.3">
      <c r="B12" s="7">
        <v>10.08</v>
      </c>
      <c r="C12" s="7">
        <v>1</v>
      </c>
      <c r="D12" s="7">
        <v>6</v>
      </c>
      <c r="E12" s="7">
        <v>58</v>
      </c>
      <c r="F12" s="26">
        <v>58</v>
      </c>
      <c r="G12" s="17">
        <f>PI()*(B12/1000)^2/4</f>
        <v>7.9801479949426492E-5</v>
      </c>
      <c r="H12" s="29">
        <f t="shared" si="2"/>
        <v>5.0000000000000001E-3</v>
      </c>
      <c r="I12" s="29">
        <f t="shared" si="0"/>
        <v>8.6206896551724145E-5</v>
      </c>
      <c r="J12" s="32">
        <f>I12/G12</f>
        <v>1.080266889866667</v>
      </c>
      <c r="K12" s="15">
        <f t="shared" si="1"/>
        <v>11152.284155936095</v>
      </c>
      <c r="L12" s="31">
        <f>(F12/1000)/(L*J12*J12)*(B12/1000*2*g)</f>
        <v>2.7303787645728824E-2</v>
      </c>
      <c r="M12" s="16"/>
    </row>
    <row r="13" spans="1:16" ht="15.75" customHeight="1" x14ac:dyDescent="0.3">
      <c r="B13" s="7">
        <v>10.08</v>
      </c>
      <c r="C13" s="7">
        <v>1</v>
      </c>
      <c r="D13" s="7">
        <v>6</v>
      </c>
      <c r="E13" s="7">
        <v>42</v>
      </c>
      <c r="F13" s="26">
        <v>98.3</v>
      </c>
      <c r="G13" s="17">
        <f>PI()*(B13/1000)^2/4</f>
        <v>7.9801479949426492E-5</v>
      </c>
      <c r="H13" s="29">
        <f t="shared" si="2"/>
        <v>5.0000000000000001E-3</v>
      </c>
      <c r="I13" s="29">
        <f t="shared" si="0"/>
        <v>1.1904761904761905E-4</v>
      </c>
      <c r="J13" s="32">
        <f>I13/G13</f>
        <v>1.4917971336253972</v>
      </c>
      <c r="K13" s="15">
        <f t="shared" si="1"/>
        <v>15400.773358197466</v>
      </c>
      <c r="L13" s="31">
        <f>(F13/1000)/(L*J13*J13)*(B13/1000*2*g)</f>
        <v>2.4265598949908526E-2</v>
      </c>
      <c r="M13" s="16"/>
    </row>
    <row r="14" spans="1:16" ht="15.75" customHeight="1" x14ac:dyDescent="0.3">
      <c r="B14" s="7">
        <v>10.08</v>
      </c>
      <c r="C14" s="7">
        <v>1</v>
      </c>
      <c r="D14" s="7">
        <v>6</v>
      </c>
      <c r="E14" s="7">
        <v>34</v>
      </c>
      <c r="F14" s="26">
        <v>146.5</v>
      </c>
      <c r="G14" s="17">
        <f>PI()*(B14/1000)^2/4</f>
        <v>7.9801479949426492E-5</v>
      </c>
      <c r="H14" s="29">
        <f t="shared" si="2"/>
        <v>5.0000000000000001E-3</v>
      </c>
      <c r="I14" s="29">
        <f t="shared" si="0"/>
        <v>1.4705882352941178E-4</v>
      </c>
      <c r="J14" s="32">
        <f>I14/G14</f>
        <v>1.8428082238901966</v>
      </c>
      <c r="K14" s="15">
        <f t="shared" si="1"/>
        <v>19024.484736596867</v>
      </c>
      <c r="L14" s="31">
        <f>(F14/1000)/(L*J14*J14)*(B14/1000*2*g)</f>
        <v>2.3699237632512395E-2</v>
      </c>
      <c r="M14" s="16"/>
    </row>
    <row r="15" spans="1:16" ht="15.75" customHeight="1" x14ac:dyDescent="0.3">
      <c r="B15" s="7">
        <v>10.61</v>
      </c>
      <c r="C15" s="7">
        <v>1</v>
      </c>
      <c r="D15" s="7">
        <v>6</v>
      </c>
      <c r="E15" s="7">
        <v>74</v>
      </c>
      <c r="F15" s="26">
        <v>41.4</v>
      </c>
      <c r="G15" s="17">
        <f>PI()*(B15/1000)^2/4</f>
        <v>8.8413920589793871E-5</v>
      </c>
      <c r="H15" s="29">
        <f t="shared" si="2"/>
        <v>5.0000000000000001E-3</v>
      </c>
      <c r="I15" s="29">
        <f t="shared" si="0"/>
        <v>6.7567567567567569E-5</v>
      </c>
      <c r="J15" s="32">
        <f>I15/G15</f>
        <v>0.76421865603104222</v>
      </c>
      <c r="K15" s="15">
        <f t="shared" si="1"/>
        <v>8304.3424216400635</v>
      </c>
      <c r="L15" s="31">
        <f>(F15/1000)/(L*J15*J15)*(B15/1000*2*g)</f>
        <v>4.0989909214072348E-2</v>
      </c>
      <c r="M15" s="16"/>
    </row>
    <row r="16" spans="1:16" ht="15.75" customHeight="1" x14ac:dyDescent="0.3">
      <c r="B16" s="7">
        <v>10.61</v>
      </c>
      <c r="C16" s="7">
        <v>1</v>
      </c>
      <c r="D16" s="7">
        <v>6</v>
      </c>
      <c r="E16" s="7">
        <v>56</v>
      </c>
      <c r="F16" s="26">
        <v>70.5</v>
      </c>
      <c r="G16" s="17">
        <f>PI()*(B16/1000)^2/4</f>
        <v>8.8413920589793871E-5</v>
      </c>
      <c r="H16" s="29">
        <f t="shared" si="2"/>
        <v>5.0000000000000001E-3</v>
      </c>
      <c r="I16" s="29">
        <f t="shared" si="0"/>
        <v>8.9285714285714286E-5</v>
      </c>
      <c r="J16" s="32">
        <f>I16/G16</f>
        <v>1.0098603668981629</v>
      </c>
      <c r="K16" s="15">
        <f t="shared" si="1"/>
        <v>10973.595342881512</v>
      </c>
      <c r="L16" s="31">
        <f>(F16/1000)/(L*J16*J16)*(B16/1000*2*g)</f>
        <v>3.9974067994202313E-2</v>
      </c>
      <c r="M16" s="16"/>
    </row>
    <row r="17" spans="2:13" ht="15.75" customHeight="1" x14ac:dyDescent="0.3">
      <c r="B17" s="7">
        <v>10.61</v>
      </c>
      <c r="C17" s="7">
        <v>1</v>
      </c>
      <c r="D17" s="7">
        <v>9</v>
      </c>
      <c r="E17" s="7">
        <v>66</v>
      </c>
      <c r="F17" s="26">
        <v>125.5</v>
      </c>
      <c r="G17" s="17">
        <f>PI()*(B17/1000)^2/4</f>
        <v>8.8413920589793871E-5</v>
      </c>
      <c r="H17" s="29">
        <f t="shared" si="2"/>
        <v>8.0000000000000002E-3</v>
      </c>
      <c r="I17" s="29">
        <f t="shared" si="0"/>
        <v>1.2121212121212121E-4</v>
      </c>
      <c r="J17" s="32">
        <f>I17/G17</f>
        <v>1.3709619526375061</v>
      </c>
      <c r="K17" s="15">
        <f t="shared" si="1"/>
        <v>14897.487010942175</v>
      </c>
      <c r="L17" s="31">
        <f>(F17/1000)/(L*J17*J17)*(B17/1000*2*g)</f>
        <v>3.8610445033013099E-2</v>
      </c>
      <c r="M17" s="16"/>
    </row>
    <row r="18" spans="2:13" ht="15.75" customHeight="1" x14ac:dyDescent="0.3">
      <c r="B18" s="7">
        <v>10.61</v>
      </c>
      <c r="C18" s="7">
        <v>1</v>
      </c>
      <c r="D18" s="7">
        <v>6</v>
      </c>
      <c r="E18" s="7">
        <v>34</v>
      </c>
      <c r="F18" s="26">
        <v>178</v>
      </c>
      <c r="G18" s="17">
        <f>PI()*(B18/1000)^2/4</f>
        <v>8.8413920589793871E-5</v>
      </c>
      <c r="H18" s="29">
        <f t="shared" si="2"/>
        <v>5.0000000000000001E-3</v>
      </c>
      <c r="I18" s="29">
        <f t="shared" si="0"/>
        <v>1.4705882352941178E-4</v>
      </c>
      <c r="J18" s="32">
        <f>I18/G18</f>
        <v>1.6632994278322686</v>
      </c>
      <c r="K18" s="15">
        <f t="shared" si="1"/>
        <v>18074.157035334254</v>
      </c>
      <c r="L18" s="31">
        <f>(F18/1000)/(L*J18*J18)*(B18/1000*2*g)</f>
        <v>3.7204117921510974E-2</v>
      </c>
      <c r="M18" s="16"/>
    </row>
    <row r="19" spans="2:13" ht="15.75" customHeight="1" x14ac:dyDescent="0.3">
      <c r="B19" s="7">
        <v>10.050000000000001</v>
      </c>
      <c r="C19" s="7">
        <v>1</v>
      </c>
      <c r="D19" s="7">
        <v>6</v>
      </c>
      <c r="E19" s="7">
        <v>75</v>
      </c>
      <c r="F19" s="26">
        <v>40.5</v>
      </c>
      <c r="G19" s="17">
        <f>PI()*(B19/1000)^2/4</f>
        <v>7.9327177998550776E-5</v>
      </c>
      <c r="H19" s="29">
        <f t="shared" si="2"/>
        <v>5.0000000000000001E-3</v>
      </c>
      <c r="I19" s="29">
        <f t="shared" si="0"/>
        <v>6.666666666666667E-5</v>
      </c>
      <c r="J19" s="32">
        <f>I19/G19</f>
        <v>0.84040133972602171</v>
      </c>
      <c r="K19" s="15">
        <f t="shared" si="1"/>
        <v>8650.177656950551</v>
      </c>
      <c r="L19" s="31">
        <f>(F19/1000)/(L*J19*J19)*(B19/1000*2*g)</f>
        <v>3.1408277192214305E-2</v>
      </c>
      <c r="M19" s="16"/>
    </row>
    <row r="20" spans="2:13" ht="15.75" customHeight="1" x14ac:dyDescent="0.3">
      <c r="B20" s="7">
        <v>10.050000000000001</v>
      </c>
      <c r="C20" s="7">
        <v>1</v>
      </c>
      <c r="D20" s="7">
        <v>6</v>
      </c>
      <c r="E20" s="7">
        <v>58</v>
      </c>
      <c r="F20" s="26">
        <v>65.900000000000006</v>
      </c>
      <c r="G20" s="17">
        <f>PI()*(B20/1000)^2/4</f>
        <v>7.9327177998550776E-5</v>
      </c>
      <c r="H20" s="29">
        <f t="shared" si="2"/>
        <v>5.0000000000000001E-3</v>
      </c>
      <c r="I20" s="29">
        <f t="shared" si="0"/>
        <v>8.6206896551724145E-5</v>
      </c>
      <c r="J20" s="32">
        <f>I20/G20</f>
        <v>1.086725870335373</v>
      </c>
      <c r="K20" s="15">
        <f t="shared" si="1"/>
        <v>11185.574556401578</v>
      </c>
      <c r="L20" s="31">
        <f>(F20/1000)/(L*J20*J20)*(B20/1000*2*g)</f>
        <v>3.056384347161252E-2</v>
      </c>
      <c r="M20" s="16"/>
    </row>
    <row r="21" spans="2:13" ht="15.75" customHeight="1" x14ac:dyDescent="0.3">
      <c r="B21" s="7">
        <v>10.050000000000001</v>
      </c>
      <c r="C21" s="7">
        <v>1</v>
      </c>
      <c r="D21" s="7">
        <v>6</v>
      </c>
      <c r="E21" s="7">
        <v>42</v>
      </c>
      <c r="F21" s="26">
        <v>111.2</v>
      </c>
      <c r="G21" s="17">
        <f>PI()*(B21/1000)^2/4</f>
        <v>7.9327177998550776E-5</v>
      </c>
      <c r="H21" s="29">
        <f t="shared" si="2"/>
        <v>5.0000000000000001E-3</v>
      </c>
      <c r="I21" s="29">
        <f t="shared" si="0"/>
        <v>1.1904761904761905E-4</v>
      </c>
      <c r="J21" s="32">
        <f>I21/G21</f>
        <v>1.5007166780821817</v>
      </c>
      <c r="K21" s="15">
        <f t="shared" si="1"/>
        <v>15446.745815983129</v>
      </c>
      <c r="L21" s="31">
        <f>(F21/1000)/(L*J21*J21)*(B21/1000*2*g)</f>
        <v>2.7043938096187631E-2</v>
      </c>
      <c r="M21" s="16"/>
    </row>
    <row r="22" spans="2:13" ht="15.75" customHeight="1" x14ac:dyDescent="0.3">
      <c r="B22" s="7">
        <v>10.050000000000001</v>
      </c>
      <c r="C22" s="7">
        <v>1</v>
      </c>
      <c r="D22" s="7">
        <v>6</v>
      </c>
      <c r="E22" s="7">
        <v>34</v>
      </c>
      <c r="F22" s="26">
        <v>161.5</v>
      </c>
      <c r="G22" s="17">
        <f>PI()*(B22/1000)^2/4</f>
        <v>7.9327177998550776E-5</v>
      </c>
      <c r="H22" s="29">
        <f t="shared" si="2"/>
        <v>5.0000000000000001E-3</v>
      </c>
      <c r="I22" s="29">
        <f t="shared" si="0"/>
        <v>1.4705882352941178E-4</v>
      </c>
      <c r="J22" s="32">
        <f>I22/G22</f>
        <v>1.8538264846897541</v>
      </c>
      <c r="K22" s="15">
        <f t="shared" si="1"/>
        <v>19081.274243273281</v>
      </c>
      <c r="L22" s="31">
        <f>(F22/1000)/(L*J22*J22)*(B22/1000*2*g)</f>
        <v>2.5739311504519094E-2</v>
      </c>
      <c r="M22" s="16"/>
    </row>
    <row r="23" spans="2:13" ht="15.75" customHeight="1" x14ac:dyDescent="0.3">
      <c r="B23" s="7">
        <v>10.07</v>
      </c>
      <c r="C23" s="7">
        <v>1</v>
      </c>
      <c r="D23" s="7">
        <v>6</v>
      </c>
      <c r="E23" s="7">
        <v>75</v>
      </c>
      <c r="F23" s="26">
        <v>37</v>
      </c>
      <c r="G23" s="17">
        <f>PI()*(B23/1000)^2/4</f>
        <v>7.9643222219501911E-5</v>
      </c>
      <c r="H23" s="29">
        <f t="shared" si="2"/>
        <v>5.0000000000000001E-3</v>
      </c>
      <c r="I23" s="29">
        <f t="shared" ref="I23:I42" si="3">(D23-C23)/1000/E23</f>
        <v>6.666666666666667E-5</v>
      </c>
      <c r="J23" s="32">
        <f>I23/G23</f>
        <v>0.83706641706345075</v>
      </c>
      <c r="K23" s="15">
        <f t="shared" si="1"/>
        <v>8632.9975622992115</v>
      </c>
      <c r="L23" s="31">
        <f>(F23/1000)/(L*J23*J23)*(B23/1000*2*g)</f>
        <v>2.8980632518304583E-2</v>
      </c>
      <c r="M23" s="16"/>
    </row>
    <row r="24" spans="2:13" ht="15.75" customHeight="1" x14ac:dyDescent="0.3">
      <c r="B24" s="7">
        <v>10.07</v>
      </c>
      <c r="C24" s="7">
        <v>1</v>
      </c>
      <c r="D24" s="7">
        <v>6</v>
      </c>
      <c r="E24" s="7">
        <v>55.5</v>
      </c>
      <c r="F24" s="26">
        <v>66.3</v>
      </c>
      <c r="G24" s="17">
        <f>PI()*(B24/1000)^2/4</f>
        <v>7.9643222219501911E-5</v>
      </c>
      <c r="H24" s="29">
        <f t="shared" si="2"/>
        <v>5.0000000000000001E-3</v>
      </c>
      <c r="I24" s="29">
        <f t="shared" si="3"/>
        <v>9.0090090090090091E-5</v>
      </c>
      <c r="J24" s="32">
        <f>I24/G24</f>
        <v>1.1311708338695279</v>
      </c>
      <c r="K24" s="15">
        <f t="shared" si="1"/>
        <v>11666.212922025959</v>
      </c>
      <c r="L24" s="31">
        <f>(F24/1000)/(L*J24*J24)*(B24/1000*2*g)</f>
        <v>2.8436955852261202E-2</v>
      </c>
      <c r="M24" s="16"/>
    </row>
    <row r="25" spans="2:13" ht="15.75" customHeight="1" x14ac:dyDescent="0.3">
      <c r="B25" s="7">
        <v>10.07</v>
      </c>
      <c r="C25" s="7">
        <v>1</v>
      </c>
      <c r="D25" s="7">
        <v>6</v>
      </c>
      <c r="E25" s="7">
        <v>42.5</v>
      </c>
      <c r="F25" s="26">
        <v>110.5</v>
      </c>
      <c r="G25" s="17">
        <f>PI()*(B25/1000)^2/4</f>
        <v>7.9643222219501911E-5</v>
      </c>
      <c r="H25" s="29">
        <f t="shared" si="2"/>
        <v>5.0000000000000001E-3</v>
      </c>
      <c r="I25" s="29">
        <f t="shared" si="3"/>
        <v>1.1764705882352942E-4</v>
      </c>
      <c r="J25" s="32">
        <f>I25/G25</f>
        <v>1.4771760301119718</v>
      </c>
      <c r="K25" s="15">
        <f t="shared" si="1"/>
        <v>15234.701580528019</v>
      </c>
      <c r="L25" s="31">
        <f>(F25/1000)/(L*J25*J25)*(B25/1000*2*g)</f>
        <v>2.7792252527201144E-2</v>
      </c>
      <c r="M25" s="16"/>
    </row>
    <row r="26" spans="2:13" ht="15.75" customHeight="1" x14ac:dyDescent="0.3">
      <c r="B26" s="7">
        <v>10.07</v>
      </c>
      <c r="C26" s="7">
        <v>1</v>
      </c>
      <c r="D26" s="7">
        <v>6</v>
      </c>
      <c r="E26" s="7">
        <v>34.5</v>
      </c>
      <c r="F26" s="26">
        <v>157.5</v>
      </c>
      <c r="G26" s="17">
        <f>PI()*(B26/1000)^2/4</f>
        <v>7.9643222219501911E-5</v>
      </c>
      <c r="H26" s="29">
        <f t="shared" si="2"/>
        <v>5.0000000000000001E-3</v>
      </c>
      <c r="I26" s="29">
        <f t="shared" si="3"/>
        <v>1.4492753623188405E-4</v>
      </c>
      <c r="J26" s="32">
        <f>I26/G26</f>
        <v>1.8197096023118493</v>
      </c>
      <c r="K26" s="15">
        <f t="shared" si="1"/>
        <v>18767.38600499828</v>
      </c>
      <c r="L26" s="31">
        <f>(F26/1000)/(L*J26*J26)*(B26/1000*2*g)</f>
        <v>2.6103717295609112E-2</v>
      </c>
      <c r="M26" s="16"/>
    </row>
    <row r="27" spans="2:13" ht="15.75" customHeight="1" x14ac:dyDescent="0.3">
      <c r="B27" s="7">
        <v>10.41</v>
      </c>
      <c r="C27" s="7">
        <v>1</v>
      </c>
      <c r="D27" s="7">
        <v>6</v>
      </c>
      <c r="E27" s="7">
        <v>65</v>
      </c>
      <c r="F27" s="26">
        <v>66</v>
      </c>
      <c r="G27" s="17">
        <f>PI()*(B27/1000)^2/4</f>
        <v>8.5112106710871036E-5</v>
      </c>
      <c r="H27" s="29">
        <f t="shared" si="2"/>
        <v>5.0000000000000001E-3</v>
      </c>
      <c r="I27" s="29">
        <f t="shared" si="3"/>
        <v>7.6923076923076926E-5</v>
      </c>
      <c r="J27" s="32">
        <f>I27/G27</f>
        <v>0.90378537079792243</v>
      </c>
      <c r="K27" s="15">
        <f t="shared" si="1"/>
        <v>9635.8108459712948</v>
      </c>
      <c r="L27" s="31">
        <f>(F27/1000)/(L*J27*J27)*(B27/1000*2*g)</f>
        <v>4.5841682902517208E-2</v>
      </c>
      <c r="M27" s="16"/>
    </row>
    <row r="28" spans="2:13" ht="15.75" customHeight="1" x14ac:dyDescent="0.3">
      <c r="B28" s="7">
        <v>10.41</v>
      </c>
      <c r="C28" s="7">
        <v>1</v>
      </c>
      <c r="D28" s="7">
        <v>6</v>
      </c>
      <c r="E28" s="7">
        <v>44</v>
      </c>
      <c r="F28" s="26">
        <v>118.5</v>
      </c>
      <c r="G28" s="17">
        <f>PI()*(B28/1000)^2/4</f>
        <v>8.5112106710871036E-5</v>
      </c>
      <c r="H28" s="29">
        <f t="shared" si="2"/>
        <v>5.0000000000000001E-3</v>
      </c>
      <c r="I28" s="29">
        <f t="shared" si="3"/>
        <v>1.1363636363636364E-4</v>
      </c>
      <c r="J28" s="32">
        <f>I28/G28</f>
        <v>1.3351374795878399</v>
      </c>
      <c r="K28" s="15">
        <f t="shared" si="1"/>
        <v>14234.72056791214</v>
      </c>
      <c r="L28" s="31">
        <f>(F28/1000)/(L*J28*J28)*(B28/1000*2*g)</f>
        <v>3.7714956158378658E-2</v>
      </c>
      <c r="M28" s="16"/>
    </row>
    <row r="29" spans="2:13" ht="15.75" customHeight="1" x14ac:dyDescent="0.3">
      <c r="B29" s="7">
        <v>10.41</v>
      </c>
      <c r="C29" s="7">
        <v>1</v>
      </c>
      <c r="D29" s="7">
        <v>6</v>
      </c>
      <c r="E29" s="7">
        <v>39</v>
      </c>
      <c r="F29" s="26">
        <v>154.4</v>
      </c>
      <c r="G29" s="17">
        <f>PI()*(B29/1000)^2/4</f>
        <v>8.5112106710871036E-5</v>
      </c>
      <c r="H29" s="29">
        <f t="shared" si="2"/>
        <v>5.0000000000000001E-3</v>
      </c>
      <c r="I29" s="29">
        <f t="shared" si="3"/>
        <v>1.2820512820512821E-4</v>
      </c>
      <c r="J29" s="32">
        <f>I29/G29</f>
        <v>1.5063089513298706</v>
      </c>
      <c r="K29" s="15">
        <f t="shared" si="1"/>
        <v>16059.68474328549</v>
      </c>
      <c r="L29" s="31">
        <f>(F29/1000)/(L*J29*J29)*(B29/1000*2*g)</f>
        <v>3.860703185535632E-2</v>
      </c>
      <c r="M29" s="16"/>
    </row>
    <row r="30" spans="2:13" ht="15.75" customHeight="1" x14ac:dyDescent="0.3">
      <c r="B30" s="7">
        <v>10.41</v>
      </c>
      <c r="C30" s="7">
        <v>1</v>
      </c>
      <c r="D30" s="7">
        <v>6</v>
      </c>
      <c r="E30" s="7">
        <v>34</v>
      </c>
      <c r="F30" s="26">
        <v>183.4</v>
      </c>
      <c r="G30" s="17">
        <f>PI()*(B30/1000)^2/4</f>
        <v>8.5112106710871036E-5</v>
      </c>
      <c r="H30" s="29">
        <f t="shared" si="2"/>
        <v>5.0000000000000001E-3</v>
      </c>
      <c r="I30" s="29">
        <f t="shared" si="3"/>
        <v>1.4705882352941178E-4</v>
      </c>
      <c r="J30" s="32">
        <f>I30/G30</f>
        <v>1.7278249735842637</v>
      </c>
      <c r="K30" s="15">
        <f t="shared" si="1"/>
        <v>18421.403087886301</v>
      </c>
      <c r="L30" s="31">
        <f>(F30/1000)/(L*J30*J30)*(B30/1000*2*g)</f>
        <v>3.4853553985425258E-2</v>
      </c>
      <c r="M30" s="16"/>
    </row>
    <row r="31" spans="2:13" ht="15.75" customHeight="1" x14ac:dyDescent="0.3">
      <c r="B31" s="7">
        <v>11</v>
      </c>
      <c r="C31" s="7">
        <v>1</v>
      </c>
      <c r="D31" s="7">
        <v>6</v>
      </c>
      <c r="E31" s="7">
        <v>68</v>
      </c>
      <c r="F31" s="26">
        <v>36</v>
      </c>
      <c r="G31" s="17">
        <f>PI()*(B31/1000)^2/4</f>
        <v>9.5033177771091233E-5</v>
      </c>
      <c r="H31" s="29">
        <f t="shared" si="2"/>
        <v>5.0000000000000001E-3</v>
      </c>
      <c r="I31" s="29">
        <f t="shared" si="3"/>
        <v>7.3529411764705889E-5</v>
      </c>
      <c r="J31" s="32">
        <f>I31/G31</f>
        <v>0.77372359305734262</v>
      </c>
      <c r="K31" s="15">
        <f t="shared" si="1"/>
        <v>8716.673006586203</v>
      </c>
      <c r="L31" s="31">
        <f>(F31/1000)/(L*J31*J31)*(B31/1000*2*g)</f>
        <v>3.6051223499462458E-2</v>
      </c>
      <c r="M31" s="16"/>
    </row>
    <row r="32" spans="2:13" ht="15.75" customHeight="1" x14ac:dyDescent="0.3">
      <c r="B32" s="7">
        <v>11</v>
      </c>
      <c r="C32" s="7">
        <v>1</v>
      </c>
      <c r="D32" s="7">
        <v>6</v>
      </c>
      <c r="E32" s="7">
        <v>49</v>
      </c>
      <c r="F32" s="26">
        <v>67.2</v>
      </c>
      <c r="G32" s="17">
        <f>PI()*(B32/1000)^2/4</f>
        <v>9.5033177771091233E-5</v>
      </c>
      <c r="H32" s="29">
        <f t="shared" si="2"/>
        <v>5.0000000000000001E-3</v>
      </c>
      <c r="I32" s="29">
        <f t="shared" si="3"/>
        <v>1.0204081632653062E-4</v>
      </c>
      <c r="J32" s="32">
        <f>I32/G32</f>
        <v>1.0737388638346794</v>
      </c>
      <c r="K32" s="15">
        <f t="shared" si="1"/>
        <v>12096.607437711466</v>
      </c>
      <c r="L32" s="31">
        <f>(F32/1000)/(L*J32*J32)*(B32/1000*2*g)</f>
        <v>3.4943074587973799E-2</v>
      </c>
      <c r="M32" s="16"/>
    </row>
    <row r="33" spans="2:13" ht="15.75" customHeight="1" x14ac:dyDescent="0.3">
      <c r="B33" s="7">
        <v>11</v>
      </c>
      <c r="C33" s="7">
        <v>1</v>
      </c>
      <c r="D33" s="7">
        <v>6</v>
      </c>
      <c r="E33" s="7">
        <v>41</v>
      </c>
      <c r="F33" s="26">
        <v>88.2</v>
      </c>
      <c r="G33" s="17">
        <f>PI()*(B33/1000)^2/4</f>
        <v>9.5033177771091233E-5</v>
      </c>
      <c r="H33" s="29">
        <f t="shared" si="2"/>
        <v>5.0000000000000001E-3</v>
      </c>
      <c r="I33" s="29">
        <f t="shared" si="3"/>
        <v>1.2195121951219512E-4</v>
      </c>
      <c r="J33" s="32">
        <f>I33/G33</f>
        <v>1.2832488860463243</v>
      </c>
      <c r="K33" s="15">
        <f t="shared" si="1"/>
        <v>14456.921084094189</v>
      </c>
      <c r="L33" s="31">
        <f>(F33/1000)/(L*J33*J33)*(B33/1000*2*g)</f>
        <v>3.2109680238183641E-2</v>
      </c>
      <c r="M33" s="16"/>
    </row>
    <row r="34" spans="2:13" ht="15.75" customHeight="1" x14ac:dyDescent="0.3">
      <c r="B34" s="7">
        <v>11</v>
      </c>
      <c r="C34" s="7">
        <v>1</v>
      </c>
      <c r="D34" s="7">
        <v>6</v>
      </c>
      <c r="E34" s="7">
        <v>40</v>
      </c>
      <c r="F34" s="26">
        <v>98.2</v>
      </c>
      <c r="G34" s="17">
        <f>PI()*(B34/1000)^2/4</f>
        <v>9.5033177771091233E-5</v>
      </c>
      <c r="H34" s="29">
        <f t="shared" si="2"/>
        <v>5.0000000000000001E-3</v>
      </c>
      <c r="I34" s="29">
        <f t="shared" si="3"/>
        <v>1.25E-4</v>
      </c>
      <c r="J34" s="32">
        <f>I34/G34</f>
        <v>1.3153301081974824</v>
      </c>
      <c r="K34" s="15">
        <f t="shared" si="1"/>
        <v>14818.344111196544</v>
      </c>
      <c r="L34" s="31">
        <f>(F34/1000)/(L*J34*J34)*(B34/1000*2*g)</f>
        <v>3.4027586963160453E-2</v>
      </c>
      <c r="M34" s="16"/>
    </row>
    <row r="35" spans="2:13" ht="15.75" customHeight="1" x14ac:dyDescent="0.3">
      <c r="B35" s="7">
        <v>10.220000000000001</v>
      </c>
      <c r="C35" s="7">
        <v>1</v>
      </c>
      <c r="D35" s="7">
        <v>6</v>
      </c>
      <c r="E35" s="7">
        <v>69</v>
      </c>
      <c r="F35" s="26">
        <v>55</v>
      </c>
      <c r="G35" s="17">
        <f>PI()*(B35/1000)^2/4</f>
        <v>8.2033581529802034E-5</v>
      </c>
      <c r="H35" s="29">
        <f t="shared" si="2"/>
        <v>5.0000000000000001E-3</v>
      </c>
      <c r="I35" s="29">
        <f t="shared" si="3"/>
        <v>7.2463768115942027E-5</v>
      </c>
      <c r="J35" s="32">
        <f>I35/G35</f>
        <v>0.88334273311737121</v>
      </c>
      <c r="K35" s="15">
        <f t="shared" si="1"/>
        <v>9245.9675670417182</v>
      </c>
      <c r="L35" s="31">
        <f>(F35/1000)/(L*J35*J35)*(B35/1000*2*g)</f>
        <v>3.9260118517091915E-2</v>
      </c>
      <c r="M35" s="16"/>
    </row>
    <row r="36" spans="2:13" ht="15.75" customHeight="1" x14ac:dyDescent="0.3">
      <c r="B36" s="7">
        <v>10.220000000000001</v>
      </c>
      <c r="C36" s="7">
        <v>1</v>
      </c>
      <c r="D36" s="7">
        <v>6</v>
      </c>
      <c r="E36" s="7">
        <v>51</v>
      </c>
      <c r="F36" s="26">
        <v>87</v>
      </c>
      <c r="G36" s="17">
        <f>PI()*(B36/1000)^2/4</f>
        <v>8.2033581529802034E-5</v>
      </c>
      <c r="H36" s="29">
        <f t="shared" si="2"/>
        <v>5.0000000000000001E-3</v>
      </c>
      <c r="I36" s="29">
        <f t="shared" si="3"/>
        <v>9.8039215686274506E-5</v>
      </c>
      <c r="J36" s="32">
        <f>I36/G36</f>
        <v>1.195110756570561</v>
      </c>
      <c r="K36" s="15">
        <f t="shared" si="1"/>
        <v>12509.250237762324</v>
      </c>
      <c r="L36" s="31">
        <f>(F36/1000)/(L*J36*J36)*(B36/1000*2*g)</f>
        <v>3.3927381332711531E-2</v>
      </c>
      <c r="M36" s="16"/>
    </row>
    <row r="37" spans="2:13" ht="15.75" customHeight="1" x14ac:dyDescent="0.3">
      <c r="B37" s="7">
        <v>10.220000000000001</v>
      </c>
      <c r="C37" s="7">
        <v>1</v>
      </c>
      <c r="D37" s="7">
        <v>6</v>
      </c>
      <c r="E37" s="7">
        <v>43</v>
      </c>
      <c r="F37" s="26">
        <v>112.7</v>
      </c>
      <c r="G37" s="17">
        <f>PI()*(B37/1000)^2/4</f>
        <v>8.2033581529802034E-5</v>
      </c>
      <c r="H37" s="29">
        <f t="shared" si="2"/>
        <v>5.0000000000000001E-3</v>
      </c>
      <c r="I37" s="29">
        <f t="shared" si="3"/>
        <v>1.1627906976744187E-4</v>
      </c>
      <c r="J37" s="32">
        <f>I37/G37</f>
        <v>1.4174569438395026</v>
      </c>
      <c r="K37" s="15">
        <f t="shared" si="1"/>
        <v>14836.552607578573</v>
      </c>
      <c r="L37" s="31">
        <f>(F37/1000)/(L*J37*J37)*(B37/1000*2*g)</f>
        <v>3.1242916098085601E-2</v>
      </c>
      <c r="M37" s="16"/>
    </row>
    <row r="38" spans="2:13" ht="15.75" customHeight="1" x14ac:dyDescent="0.3">
      <c r="B38" s="7">
        <v>10.220000000000001</v>
      </c>
      <c r="C38" s="7">
        <v>1</v>
      </c>
      <c r="D38" s="7">
        <v>6</v>
      </c>
      <c r="E38" s="7">
        <v>34</v>
      </c>
      <c r="F38" s="26">
        <v>163</v>
      </c>
      <c r="G38" s="17">
        <f>PI()*(B38/1000)^2/4</f>
        <v>8.2033581529802034E-5</v>
      </c>
      <c r="H38" s="29">
        <f t="shared" si="2"/>
        <v>5.0000000000000001E-3</v>
      </c>
      <c r="I38" s="29">
        <f t="shared" si="3"/>
        <v>1.4705882352941178E-4</v>
      </c>
      <c r="J38" s="32">
        <f>I38/G38</f>
        <v>1.7926661348558417</v>
      </c>
      <c r="K38" s="15">
        <f t="shared" si="1"/>
        <v>18763.87535664349</v>
      </c>
      <c r="L38" s="31">
        <f>(F38/1000)/(L*J38*J38)*(B38/1000*2*g)</f>
        <v>2.8251152782794272E-2</v>
      </c>
      <c r="M38" s="16"/>
    </row>
    <row r="39" spans="2:13" ht="15.75" customHeight="1" x14ac:dyDescent="0.3">
      <c r="B39" s="7">
        <v>10.09</v>
      </c>
      <c r="C39" s="7">
        <v>1</v>
      </c>
      <c r="D39" s="7">
        <v>6</v>
      </c>
      <c r="E39" s="7">
        <v>67</v>
      </c>
      <c r="F39" s="26">
        <v>61</v>
      </c>
      <c r="G39" s="17">
        <f>PI()*(B39/1000)^2/4</f>
        <v>7.9959894758983754E-5</v>
      </c>
      <c r="H39" s="29">
        <f t="shared" si="2"/>
        <v>5.0000000000000001E-3</v>
      </c>
      <c r="I39" s="29">
        <f t="shared" si="3"/>
        <v>7.4626865671641792E-5</v>
      </c>
      <c r="J39" s="32">
        <f>I39/G39</f>
        <v>0.93330370051865563</v>
      </c>
      <c r="K39" s="15">
        <f t="shared" si="1"/>
        <v>9644.6480317833229</v>
      </c>
      <c r="L39" s="31">
        <f>(F39/1000)/(L*J39*J39)*(B39/1000*2*g)</f>
        <v>3.8509823480947593E-2</v>
      </c>
      <c r="M39" s="16"/>
    </row>
    <row r="40" spans="2:13" ht="15.75" customHeight="1" x14ac:dyDescent="0.3">
      <c r="B40" s="7">
        <v>10.09</v>
      </c>
      <c r="C40" s="7">
        <v>1</v>
      </c>
      <c r="D40" s="7">
        <v>6</v>
      </c>
      <c r="E40" s="7">
        <v>51</v>
      </c>
      <c r="F40" s="26">
        <v>102</v>
      </c>
      <c r="G40" s="17">
        <f>PI()*(B40/1000)^2/4</f>
        <v>7.9959894758983754E-5</v>
      </c>
      <c r="H40" s="29">
        <f t="shared" si="2"/>
        <v>5.0000000000000001E-3</v>
      </c>
      <c r="I40" s="29">
        <f t="shared" si="3"/>
        <v>9.8039215686274506E-5</v>
      </c>
      <c r="J40" s="32">
        <f>I40/G40</f>
        <v>1.2261048614656846</v>
      </c>
      <c r="K40" s="15">
        <f t="shared" si="1"/>
        <v>12670.419963323187</v>
      </c>
      <c r="L40" s="31">
        <f>(F40/1000)/(L*J40*J40)*(B40/1000*2*g)</f>
        <v>3.7310632508398896E-2</v>
      </c>
      <c r="M40" s="16"/>
    </row>
    <row r="41" spans="2:13" ht="15.75" customHeight="1" x14ac:dyDescent="0.3">
      <c r="B41" s="7">
        <v>10.09</v>
      </c>
      <c r="C41" s="7">
        <v>1</v>
      </c>
      <c r="D41" s="7">
        <v>6</v>
      </c>
      <c r="E41" s="7">
        <v>42</v>
      </c>
      <c r="F41" s="26">
        <v>131.80000000000001</v>
      </c>
      <c r="G41" s="17">
        <f>PI()*(B41/1000)^2/4</f>
        <v>7.9959894758983754E-5</v>
      </c>
      <c r="H41" s="29">
        <f t="shared" si="2"/>
        <v>5.0000000000000001E-3</v>
      </c>
      <c r="I41" s="29">
        <f t="shared" si="3"/>
        <v>1.1904761904761905E-4</v>
      </c>
      <c r="J41" s="32">
        <f>I41/G41</f>
        <v>1.4888416174940458</v>
      </c>
      <c r="K41" s="15">
        <f t="shared" si="1"/>
        <v>15385.509955463869</v>
      </c>
      <c r="L41" s="31">
        <f>(F41/1000)/(L*J41*J41)*(B41/1000*2*g)</f>
        <v>3.2696862319796696E-2</v>
      </c>
      <c r="M41" s="16"/>
    </row>
    <row r="42" spans="2:13" ht="15.75" customHeight="1" x14ac:dyDescent="0.3">
      <c r="B42" s="7">
        <v>10.09</v>
      </c>
      <c r="C42" s="7">
        <v>1</v>
      </c>
      <c r="D42" s="7">
        <v>6</v>
      </c>
      <c r="E42" s="7">
        <v>33</v>
      </c>
      <c r="F42" s="26">
        <v>198</v>
      </c>
      <c r="G42" s="17">
        <f>PI()*(B42/1000)^2/4</f>
        <v>7.9959894758983754E-5</v>
      </c>
      <c r="H42" s="29">
        <f t="shared" si="2"/>
        <v>5.0000000000000001E-3</v>
      </c>
      <c r="I42" s="29">
        <f t="shared" si="3"/>
        <v>1.5151515151515152E-4</v>
      </c>
      <c r="J42" s="32">
        <f>I42/G42</f>
        <v>1.8948893313560582</v>
      </c>
      <c r="K42" s="15">
        <f t="shared" si="1"/>
        <v>19581.558125135834</v>
      </c>
      <c r="L42" s="31">
        <f>(F42/1000)/(L*J42*J42)*(B42/1000*2*g)</f>
        <v>3.0323907104831418E-2</v>
      </c>
      <c r="M42" s="16"/>
    </row>
    <row r="43" spans="2:13" ht="15.75" customHeight="1" x14ac:dyDescent="0.3"/>
    <row r="44" spans="2:13" ht="15.75" customHeight="1" x14ac:dyDescent="0.3"/>
    <row r="45" spans="2:13" ht="15.75" customHeight="1" x14ac:dyDescent="0.3"/>
    <row r="46" spans="2:13" ht="15.75" customHeight="1" x14ac:dyDescent="0.3"/>
    <row r="47" spans="2:13" ht="15.75" customHeight="1" x14ac:dyDescent="0.3"/>
    <row r="48" spans="2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</sheetData>
  <mergeCells count="1">
    <mergeCell ref="A1:K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000"/>
  <sheetViews>
    <sheetView workbookViewId="0">
      <selection activeCell="D6" sqref="D6"/>
    </sheetView>
  </sheetViews>
  <sheetFormatPr defaultColWidth="14.44140625" defaultRowHeight="15" customHeight="1" x14ac:dyDescent="0.3"/>
  <cols>
    <col min="1" max="6" width="8.6640625" customWidth="1"/>
  </cols>
  <sheetData>
    <row r="2" spans="2:4" ht="14.4" x14ac:dyDescent="0.3">
      <c r="B2" s="2" t="s">
        <v>12</v>
      </c>
      <c r="C2" s="2">
        <v>1000</v>
      </c>
      <c r="D2" s="2" t="s">
        <v>13</v>
      </c>
    </row>
    <row r="3" spans="2:4" ht="14.4" x14ac:dyDescent="0.3">
      <c r="B3" s="2" t="s">
        <v>14</v>
      </c>
      <c r="C3" s="2">
        <v>9.81</v>
      </c>
      <c r="D3" s="2" t="s">
        <v>15</v>
      </c>
    </row>
    <row r="4" spans="2:4" ht="14.4" x14ac:dyDescent="0.3">
      <c r="B4" s="2" t="s">
        <v>16</v>
      </c>
      <c r="C4" s="1">
        <v>9.7639999999999999E-4</v>
      </c>
      <c r="D4" s="2" t="s">
        <v>17</v>
      </c>
    </row>
    <row r="5" spans="2:4" ht="14.4" x14ac:dyDescent="0.3">
      <c r="B5" s="2" t="s">
        <v>18</v>
      </c>
      <c r="C5" s="2">
        <v>0.36</v>
      </c>
      <c r="D5" s="2" t="s">
        <v>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Processed data</vt:lpstr>
      <vt:lpstr>Material Props + Length</vt:lpstr>
      <vt:lpstr>g</vt:lpstr>
      <vt:lpstr>L</vt:lpstr>
      <vt:lpstr>mu</vt:lpstr>
      <vt:lpstr>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FE4PM1 FE4PM1</dc:creator>
  <cp:lastModifiedBy>Mustafa Onur Onen</cp:lastModifiedBy>
  <dcterms:created xsi:type="dcterms:W3CDTF">2024-09-16T17:20:18Z</dcterms:created>
  <dcterms:modified xsi:type="dcterms:W3CDTF">2026-02-25T16:24:21Z</dcterms:modified>
</cp:coreProperties>
</file>